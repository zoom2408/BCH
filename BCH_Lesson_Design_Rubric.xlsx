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teraction Catalog" sheetId="1" state="visible" r:id="rId3"/>
    <sheet name="2. Density Guide" sheetId="2" state="visible" r:id="rId4"/>
    <sheet name="3. Lesson Design Rubric" sheetId="3" state="visible" r:id="rId5"/>
    <sheet name="4. Assessment Rubric" sheetId="4" state="visible" r:id="rId6"/>
    <sheet name="5. Lesson Scorec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<sst xmlns="http://schemas.openxmlformats.org/spreadsheetml/2006/main" count="334" uniqueCount="237">
  <si>
    <t xml:space="preserve">Catalog of Interaction Types — with Pros/Cons &amp; Cost</t>
  </si>
  <si>
    <t xml:space="preserve">Tier 1 = build first (cheap, reusable). Cost rated for a SOLO/very small team. Build = one-time eng; Author = per-lesson effort.</t>
  </si>
  <si>
    <t xml:space="preserve">#</t>
  </si>
  <si>
    <t xml:space="preserve">Interaction</t>
  </si>
  <si>
    <t xml:space="preserve">Bloom fit</t>
  </si>
  <si>
    <t xml:space="preserve">Idea / what it is</t>
  </si>
  <si>
    <t xml:space="preserve">Pros</t>
  </si>
  <si>
    <t xml:space="preserve">Cons</t>
  </si>
  <si>
    <t xml:space="preserve">Build cost</t>
  </si>
  <si>
    <t xml:space="preserve">Author cost</t>
  </si>
  <si>
    <t xml:space="preserve">Tier</t>
  </si>
  <si>
    <t xml:space="preserve">1</t>
  </si>
  <si>
    <t xml:space="preserve">Flip Flashcard</t>
  </si>
  <si>
    <t xml:space="preserve">Nhớ</t>
  </si>
  <si>
    <t xml:space="preserve">Tap a card to reveal a term's definition; tracks cards viewed.</t>
  </si>
  <si>
    <t xml:space="preserve">Very fast to build; ideal for terms/drug names; reusable engine; great warm-up.</t>
  </si>
  <si>
    <t xml:space="preserve">Passive recall only; weak assessment signal; easy to skim.</t>
  </si>
  <si>
    <t xml:space="preserve">Thấp</t>
  </si>
  <si>
    <t xml:space="preserve">2</t>
  </si>
  <si>
    <t xml:space="preserve">MCQ + rationale</t>
  </si>
  <si>
    <t xml:space="preserve">Nhớ→Vận dụng</t>
  </si>
  <si>
    <t xml:space="preserve">Single-best-answer with instant explanatory feedback.</t>
  </si>
  <si>
    <t xml:space="preserve">Auto-graded; powerful QA via item analysis; works for every topic; mobile-friendly.</t>
  </si>
  <si>
    <t xml:space="preserve">Guessing/cueing; writing strong distractors is hard.</t>
  </si>
  <si>
    <t xml:space="preserve">TB</t>
  </si>
  <si>
    <t xml:space="preserve">3</t>
  </si>
  <si>
    <t xml:space="preserve">Categorize / Sort</t>
  </si>
  <si>
    <t xml:space="preserve">Phân tích</t>
  </si>
  <si>
    <t xml:space="preserve">Tap each item into the correct bucket (e.g., SSRI vs SNRI).</t>
  </si>
  <si>
    <t xml:space="preserve">Tests discrimination; one engine serves many lessons; clean on touch.</t>
  </si>
  <si>
    <t xml:space="preserve">Only fits grouping tasks; needs ≥2 clear categories.</t>
  </si>
  <si>
    <t xml:space="preserve">4</t>
  </si>
  <si>
    <t xml:space="preserve">Clinical Vignette</t>
  </si>
  <si>
    <t xml:space="preserve">Vận dụng/Phân tích</t>
  </si>
  <si>
    <t xml:space="preserve">A short case → diagnostic/treatment decision + criteria checklist.</t>
  </si>
  <si>
    <t xml:space="preserve">Authentic, high engagement; signature fit for pharmacy &amp; psychology.</t>
  </si>
  <si>
    <t xml:space="preserve">Writing-heavy to author well; one case = limited coverage.</t>
  </si>
  <si>
    <t xml:space="preserve">Cao</t>
  </si>
  <si>
    <t xml:space="preserve">5</t>
  </si>
  <si>
    <t xml:space="preserve">Community Poll</t>
  </si>
  <si>
    <t xml:space="preserve">Đánh giá</t>
  </si>
  <si>
    <t xml:space="preserve">Opinion/judgement vote, then reveal how peers answered.</t>
  </si>
  <si>
    <t xml:space="preserve">Social proof boosts engagement; no single right answer needed; cheap to author.</t>
  </si>
  <si>
    <t xml:space="preserve">Needs backend for real aggregates; not a knowledge check.</t>
  </si>
  <si>
    <t xml:space="preserve">6</t>
  </si>
  <si>
    <t xml:space="preserve">Open Response + rubric</t>
  </si>
  <si>
    <t xml:space="preserve">Sáng tạo/Đánh giá</t>
  </si>
  <si>
    <t xml:space="preserve">Free-text (e.g., case formulation) with self/auto rubric checklist.</t>
  </si>
  <si>
    <t xml:space="preserve">Reaches the highest Bloom level; reflective; pairs with notebook.</t>
  </si>
  <si>
    <t xml:space="preserve">Weak auto-grading until AI; long prompts hurt completion.</t>
  </si>
  <si>
    <t xml:space="preserve">7</t>
  </si>
  <si>
    <t xml:space="preserve">Matching Pairs</t>
  </si>
  <si>
    <t xml:space="preserve">Nhớ/Hiểu</t>
  </si>
  <si>
    <t xml:space="preserve">Connect term ↔ definition / drug ↔ class.</t>
  </si>
  <si>
    <t xml:space="preserve">Engaging; strong for paired facts; quick to author.</t>
  </si>
  <si>
    <t xml:space="preserve">Scales poorly beyond ~6 pairs on small screens.</t>
  </si>
  <si>
    <t xml:space="preserve">8</t>
  </si>
  <si>
    <t xml:space="preserve">Cloze / Fill-blank</t>
  </si>
  <si>
    <t xml:space="preserve">Hiểu</t>
  </si>
  <si>
    <t xml:space="preserve">Complete a sentence/mechanism with the missing word.</t>
  </si>
  <si>
    <t xml:space="preserve">Tests precise recall in context; compact.</t>
  </si>
  <si>
    <t xml:space="preserve">String-matching is fragile (synonyms, typos); needs answer sets.</t>
  </si>
  <si>
    <t xml:space="preserve">9</t>
  </si>
  <si>
    <t xml:space="preserve">Ordering / Sequence</t>
  </si>
  <si>
    <t xml:space="preserve">Hiểu/Vận dụng</t>
  </si>
  <si>
    <t xml:space="preserve">Arrange steps in order (metabolism, therapy protocol).</t>
  </si>
  <si>
    <t xml:space="preserve">Perfect for processes &amp; pathways; clear right answer.</t>
  </si>
  <si>
    <t xml:space="preserve">Drag is awkward on mobile — use up/down buttons instead.</t>
  </si>
  <si>
    <t xml:space="preserve">10</t>
  </si>
  <si>
    <t xml:space="preserve">Labeled Diagram / Hotspot</t>
  </si>
  <si>
    <t xml:space="preserve">Click regions on an image (brain area, molecule, organ).</t>
  </si>
  <si>
    <t xml:space="preserve">Highly visual; ideal for anatomy/neuro/pharmacology.</t>
  </si>
  <si>
    <t xml:space="preserve">Needs licensed images + coordinate authoring; image-heavy.</t>
  </si>
  <si>
    <t xml:space="preserve">11</t>
  </si>
  <si>
    <t xml:space="preserve">Dimensional Slider</t>
  </si>
  <si>
    <t xml:space="preserve">Drag a slider to estimate severity / dose-response on a continuum.</t>
  </si>
  <si>
    <t xml:space="preserve">Teaches continua (categorical vs dimensional!); cheap; novel.</t>
  </si>
  <si>
    <t xml:space="preserve">Narrow set of use cases.</t>
  </si>
  <si>
    <t xml:space="preserve">12</t>
  </si>
  <si>
    <t xml:space="preserve">Confidence-weighted MCQ</t>
  </si>
  <si>
    <t xml:space="preserve">Siêu nhận thức</t>
  </si>
  <si>
    <t xml:space="preserve">Answer + state confidence; feedback flags over/under-confidence.</t>
  </si>
  <si>
    <t xml:space="preserve">Rich calibration data; promotes metacognition; extends MCQ.</t>
  </si>
  <si>
    <t xml:space="preserve">Adds friction; some learners dislike it.</t>
  </si>
  <si>
    <t xml:space="preserve">13</t>
  </si>
  <si>
    <t xml:space="preserve">Branching / Virtual Patient</t>
  </si>
  <si>
    <t xml:space="preserve">Vận dụng→Đánh giá</t>
  </si>
  <si>
    <t xml:space="preserve">Multi-node scenario where choices change the path/outcome.</t>
  </si>
  <si>
    <t xml:space="preserve">Deepest engagement; a true signature feature; reaches high Bloom.</t>
  </si>
  <si>
    <t xml:space="preserve">High build (state engine) + very high authoring (many nodes).</t>
  </si>
  <si>
    <t xml:space="preserve">14</t>
  </si>
  <si>
    <t xml:space="preserve">Interactive Calculation</t>
  </si>
  <si>
    <t xml:space="preserve">Vận dụng</t>
  </si>
  <si>
    <t xml:space="preserve">Live formula widget (dosage, clearance, stats).</t>
  </si>
  <si>
    <t xml:space="preserve">Essential for pharmacy; turns formulas into practice.</t>
  </si>
  <si>
    <t xml:space="preserve">Per-topic logic = semi-custom each time.</t>
  </si>
  <si>
    <t xml:space="preserve">15</t>
  </si>
  <si>
    <t xml:space="preserve">Timeline / Animated infographic</t>
  </si>
  <si>
    <t xml:space="preserve">Step through an animated process (PK curve, history).</t>
  </si>
  <si>
    <t xml:space="preserve">Beautiful; great for dynamic processes.</t>
  </si>
  <si>
    <t xml:space="preserve">Design-heavy; low assessment value.</t>
  </si>
  <si>
    <t xml:space="preserve">16</t>
  </si>
  <si>
    <t xml:space="preserve">Spaced-Repetition Review</t>
  </si>
  <si>
    <t xml:space="preserve">Nhớ (xuyên bài)</t>
  </si>
  <si>
    <t xml:space="preserve">Cross-lesson review of saved Essences on a Leitner schedule.</t>
  </si>
  <si>
    <t xml:space="preserve">Largest long-term retention gain; reuses essence/flashcard data.</t>
  </si>
  <si>
    <t xml:space="preserve">Needs backend + scheduling; engagement infra, not per-lesson.</t>
  </si>
  <si>
    <t xml:space="preserve">Legend</t>
  </si>
  <si>
    <t xml:space="preserve">Cost: Thấp = Low · TB = Medium · Cao = High.   Tier 1 = core vocabulary to build first; Tier 2 = add once core is proven; Tier 3 = defer for a solo team (high cost).   Recommended starter set for BCH: #1, #2, #3, #4, #6 (+ #5 once backend exists).</t>
  </si>
  <si>
    <t xml:space="preserve">How Many Interactions per Lesson?</t>
  </si>
  <si>
    <t xml:space="preserve">Balancing impression vs. overwhelm — grounded in cognitive-load theory, kept Bloom-aware.</t>
  </si>
  <si>
    <t xml:space="preserve">The key distinction</t>
  </si>
  <si>
    <t xml:space="preserve">• Instances = how many interactive moments in a lesson.   • Distinct types = how many DIFFERENT interaction formats.</t>
  </si>
  <si>
    <t xml:space="preserve">Each new TYPE costs the learner extraneous load (they must learn its UI). So variety impresses, but too much variety overwhelms.</t>
  </si>
  <si>
    <t xml:space="preserve">Recommendation for BCH (≈15–25 min lesson)</t>
  </si>
  <si>
    <t xml:space="preserve">✓ 3–5 interaction INSTANCES per lesson (one roughly every 3–5 minutes of content).</t>
  </si>
  <si>
    <t xml:space="preserve">✓ Only 2–3 DISTINCT TYPES per lesson — reuse the same formats so users master the UI once.</t>
  </si>
  <si>
    <t xml:space="preserve">✓ Platform-wide vocabulary capped at ~6–8 types total (the Tier-1 set). Master a few, don't sprawl.</t>
  </si>
  <si>
    <t xml:space="preserve">✓ Always include exactly ONE higher-order interaction (Analyze/Evaluate/Create) as the capstone.</t>
  </si>
  <si>
    <t xml:space="preserve">✓ Never put two HIGH-author-cost types in the same lesson (protects a solo team's time).</t>
  </si>
  <si>
    <t xml:space="preserve">Bloom-aware budgeting (don't force 6 heavy interactions)</t>
  </si>
  <si>
    <t xml:space="preserve">Cover the Bloom climb, but spend your 'interaction budget' on the higher levels:</t>
  </si>
  <si>
    <t xml:space="preserve">• Remember / Understand → cheap or passive (flashcard, content, 1 MCQ).</t>
  </si>
  <si>
    <t xml:space="preserve">• Apply / Analyze → the MEAT: 1–2 richer interactions (vignette, sort, ordering).</t>
  </si>
  <si>
    <t xml:space="preserve">• Evaluate / Create → one capstone (poll/debate or open response). Evaluate can fold into the vignette.</t>
  </si>
  <si>
    <t xml:space="preserve">Example 5-instance, 3-type lesson: Flashcard(Remember) → read(Understand) → Vignette-MCQ(Apply) → Sort(Analyze) → Open response(Create).</t>
  </si>
  <si>
    <t xml:space="preserve">Why this balance (the evidence)</t>
  </si>
  <si>
    <t xml:space="preserve">• Cognitive Load Theory: working memory is limited; novel UI = extraneous load that crowds out learning.</t>
  </si>
  <si>
    <t xml:space="preserve">• Mayer's multimedia principles (coherence, redundancy): more elements ≠ more learning past a point.</t>
  </si>
  <si>
    <t xml:space="preserve">• Engagement curves: variety sustains attention, but unpredictability raises anxiety and drop-off.</t>
  </si>
  <si>
    <t xml:space="preserve">Net: a small, repeated, well-paced set beats a different gimmick every screen.</t>
  </si>
  <si>
    <t xml:space="preserve">Lesson Design Rubric — score before publishing</t>
  </si>
  <si>
    <t xml:space="preserve">Score each criterion 0–3. Weighted total auto-calculates. Publish gate: ≥ 80%.</t>
  </si>
  <si>
    <t xml:space="preserve">Criterion</t>
  </si>
  <si>
    <t xml:space="preserve">Weight</t>
  </si>
  <si>
    <t xml:space="preserve">0 — Missing</t>
  </si>
  <si>
    <t xml:space="preserve">1 — Weak</t>
  </si>
  <si>
    <t xml:space="preserve">2 — Good</t>
  </si>
  <si>
    <t xml:space="preserve">3 — Excellent</t>
  </si>
  <si>
    <t xml:space="preserve">Objective alignment</t>
  </si>
  <si>
    <t xml:space="preserve">No clear objectives</t>
  </si>
  <si>
    <t xml:space="preserve">Objectives vague</t>
  </si>
  <si>
    <t xml:space="preserve">Most map to activity+assessment</t>
  </si>
  <si>
    <t xml:space="preserve">Every objective → activity AND assessment</t>
  </si>
  <si>
    <t xml:space="preserve">Bloom coverage &amp; climb</t>
  </si>
  <si>
    <t xml:space="preserve">Single level</t>
  </si>
  <si>
    <t xml:space="preserve">2–3 low levels</t>
  </si>
  <si>
    <t xml:space="preserve">≥4 levels</t>
  </si>
  <si>
    <t xml:space="preserve">≥4 levels incl. ≥1 higher-order, clear climb</t>
  </si>
  <si>
    <t xml:space="preserve">Interaction density</t>
  </si>
  <si>
    <t xml:space="preserve">0 interactions</t>
  </si>
  <si>
    <t xml:space="preserve">1–2 or poorly paced</t>
  </si>
  <si>
    <t xml:space="preserve">3–5 but uneven pacing</t>
  </si>
  <si>
    <t xml:space="preserve">3–5 well-paced (~1 / 3–5 min)</t>
  </si>
  <si>
    <t xml:space="preserve">Variety vs overload</t>
  </si>
  <si>
    <t xml:space="preserve">&gt;4 types (overwhelming)</t>
  </si>
  <si>
    <t xml:space="preserve">All one type / off-vocab</t>
  </si>
  <si>
    <t xml:space="preserve">2–3 types, mostly standard</t>
  </si>
  <si>
    <t xml:space="preserve">2–3 standard types from platform vocab</t>
  </si>
  <si>
    <t xml:space="preserve">Feedback quality</t>
  </si>
  <si>
    <t xml:space="preserve">No feedback</t>
  </si>
  <si>
    <t xml:space="preserve">Right/wrong only</t>
  </si>
  <si>
    <t xml:space="preserve">Most give explanations</t>
  </si>
  <si>
    <t xml:space="preserve">Every interaction gives explanatory feedback</t>
  </si>
  <si>
    <t xml:space="preserve">Mastery gating</t>
  </si>
  <si>
    <t xml:space="preserve">None</t>
  </si>
  <si>
    <t xml:space="preserve">Optional checks</t>
  </si>
  <si>
    <t xml:space="preserve">Some gating</t>
  </si>
  <si>
    <t xml:space="preserve">Formative checks gate progress to next beat</t>
  </si>
  <si>
    <t xml:space="preserve">Cognitive-load mgmt</t>
  </si>
  <si>
    <t xml:space="preserve">Cluttered/redundant</t>
  </si>
  <si>
    <t xml:space="preserve">Some overload</t>
  </si>
  <si>
    <t xml:space="preserve">Mostly chunked</t>
  </si>
  <si>
    <t xml:space="preserve">Chunked, no redundancy, clean UI</t>
  </si>
  <si>
    <t xml:space="preserve">Engagement hooks</t>
  </si>
  <si>
    <t xml:space="preserve">Progress only</t>
  </si>
  <si>
    <t xml:space="preserve">Essence OR social</t>
  </si>
  <si>
    <t xml:space="preserve">≥1 Essence + progress/social element</t>
  </si>
  <si>
    <t xml:space="preserve">Accessibility</t>
  </si>
  <si>
    <t xml:space="preserve">Fails basics</t>
  </si>
  <si>
    <t xml:space="preserve">Partial</t>
  </si>
  <si>
    <t xml:space="preserve">Mostly meets</t>
  </si>
  <si>
    <t xml:space="preserve">Contrast ≥4.5, keyboard, mobile 375px+</t>
  </si>
  <si>
    <t xml:space="preserve">Authoring-cost realism</t>
  </si>
  <si>
    <t xml:space="preserve">&gt;2 high-author types</t>
  </si>
  <si>
    <t xml:space="preserve">2 high-author types</t>
  </si>
  <si>
    <t xml:space="preserve">1 high-author type</t>
  </si>
  <si>
    <t xml:space="preserve">Sustainable mix for a small team</t>
  </si>
  <si>
    <t xml:space="preserve">→ Use Sheet 5 (Scorecard) to enter scores and auto-compute the weighted result. Max raw = 21 weight-points × 3 = 63.</t>
  </si>
  <si>
    <t xml:space="preserve">Assessment Item Rubric — quality check for test questions</t>
  </si>
  <si>
    <t xml:space="preserve">Apply to each quiz/exam item. Items scoring &lt;2 on any 'critical' row (★) should be rewritten.</t>
  </si>
  <si>
    <t xml:space="preserve">Critical?</t>
  </si>
  <si>
    <t xml:space="preserve">Fail (0–1)</t>
  </si>
  <si>
    <t xml:space="preserve">Pass (2)</t>
  </si>
  <si>
    <t xml:space="preserve">Strong (3)</t>
  </si>
  <si>
    <t xml:space="preserve">Objective &amp; Bloom alignment</t>
  </si>
  <si>
    <t xml:space="preserve">★</t>
  </si>
  <si>
    <t xml:space="preserve">Tests nothing in the objectives</t>
  </si>
  <si>
    <t xml:space="preserve">Maps to an objective</t>
  </si>
  <si>
    <t xml:space="preserve">Maps to objective AND its Bloom level</t>
  </si>
  <si>
    <t xml:space="preserve">Stem clarity</t>
  </si>
  <si>
    <t xml:space="preserve">Confusing/double-barrelled</t>
  </si>
  <si>
    <t xml:space="preserve">Clear single question</t>
  </si>
  <si>
    <t xml:space="preserve">Clear, concise, context-rich</t>
  </si>
  <si>
    <t xml:space="preserve">Distractor plausibility</t>
  </si>
  <si>
    <t xml:space="preserve">Obvious throwaways</t>
  </si>
  <si>
    <t xml:space="preserve">Plausible distractors</t>
  </si>
  <si>
    <t xml:space="preserve">All distractors reflect real misconceptions</t>
  </si>
  <si>
    <t xml:space="preserve">Single defensible key</t>
  </si>
  <si>
    <t xml:space="preserve">Multiple/again debatable</t>
  </si>
  <si>
    <t xml:space="preserve">One correct key</t>
  </si>
  <si>
    <t xml:space="preserve">One key, defensible with a cited rationale</t>
  </si>
  <si>
    <t xml:space="preserve">Difficulty target</t>
  </si>
  <si>
    <t xml:space="preserve">Untracked / extreme</t>
  </si>
  <si>
    <t xml:space="preserve">P-value roughly 0.3–0.85</t>
  </si>
  <si>
    <t xml:space="preserve">On-target + discriminates strong vs weak</t>
  </si>
  <si>
    <t xml:space="preserve">Explanatory feedback</t>
  </si>
  <si>
    <t xml:space="preserve">Explains the key</t>
  </si>
  <si>
    <t xml:space="preserve">Explains key AND why distractors are wrong</t>
  </si>
  <si>
    <t xml:space="preserve">Free of cueing/bias</t>
  </si>
  <si>
    <t xml:space="preserve">Grammar/length cues answer</t>
  </si>
  <si>
    <t xml:space="preserve">No obvious cues</t>
  </si>
  <si>
    <t xml:space="preserve">Neutral; culturally fair wording</t>
  </si>
  <si>
    <t xml:space="preserve">Test blueprint balance</t>
  </si>
  <si>
    <t xml:space="preserve">All recall</t>
  </si>
  <si>
    <t xml:space="preserve">Some application</t>
  </si>
  <si>
    <t xml:space="preserve">Higher-order items proportional to objectives</t>
  </si>
  <si>
    <t xml:space="preserve">Lesson Scorecard — enter scores, get a verdict</t>
  </si>
  <si>
    <t xml:space="preserve">Fill the yellow 'Score (0–3)' column for each criterion. Result computes automatically.</t>
  </si>
  <si>
    <t xml:space="preserve">Lesson title:</t>
  </si>
  <si>
    <t xml:space="preserve">Score (0–3)</t>
  </si>
  <si>
    <t xml:space="preserve">Weighted</t>
  </si>
  <si>
    <t xml:space="preserve">TOTAL</t>
  </si>
  <si>
    <t xml:space="preserve">max→</t>
  </si>
  <si>
    <t xml:space="preserve">Percentage</t>
  </si>
  <si>
    <t xml:space="preserve">Verdict (publish gate ≥80%)</t>
  </si>
  <si>
    <t xml:space="preserve">Tip: any criterion scored 0–1 is a blocker even if the total passes — fix it first.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</si>
</sst>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10"/>
      <color rgb="FF000000"/>
      <name val="Calibri"/>
      <family val="0"/>
      <charset val="1"/>
    </font>
    <font>
      <b val="true"/>
      <sz val="10"/>
      <color rgb="FFB83C2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1"/>
      <name val="Calibri"/>
      <family val="0"/>
      <charset val="1"/>
    </font>
    <font>
      <b val="true"/>
      <sz val="14"/>
      <color rgb="FF2E5496"/>
      <name val="Calibri"/>
      <family val="0"/>
      <charset val="1"/>
    </font>
    <font>
      <b val="true"/>
      <sz val="12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E4D38"/>
      </patternFill>
    </fill>
    <fill>
      <patternFill patternType="solid">
        <fgColor rgb="FF2E5496"/>
        <bgColor rgb="FF3D5FBA"/>
      </patternFill>
    </fill>
    <fill>
      <patternFill patternType="solid">
        <fgColor rgb="FFE3F0E8"/>
        <bgColor rgb="FFEAF4EE"/>
      </patternFill>
    </fill>
    <fill>
      <patternFill patternType="solid">
        <fgColor rgb="FFEDF1FA"/>
        <bgColor rgb="FFEDF0F9"/>
      </patternFill>
    </fill>
    <fill>
      <patternFill patternType="solid">
        <fgColor rgb="FFFFFFFF"/>
        <bgColor rgb="FFFDF5E4"/>
      </patternFill>
    </fill>
    <fill>
      <patternFill patternType="solid">
        <fgColor rgb="FFEAF4EE"/>
        <bgColor rgb="FFEDF1FA"/>
      </patternFill>
    </fill>
    <fill>
      <patternFill patternType="solid">
        <fgColor rgb="FFFDF0EA"/>
        <bgColor rgb="FFFBEEE6"/>
      </patternFill>
    </fill>
    <fill>
      <patternFill patternType="solid">
        <fgColor rgb="FFFCF3D9"/>
        <bgColor rgb="FFFDF5E4"/>
      </patternFill>
    </fill>
    <fill>
      <patternFill patternType="solid">
        <fgColor rgb="FFFBE3DC"/>
        <bgColor rgb="FFFBEEE6"/>
      </patternFill>
    </fill>
    <fill>
      <patternFill patternType="solid">
        <fgColor rgb="FFEDF0F9"/>
        <bgColor rgb="FFEDF1FA"/>
      </patternFill>
    </fill>
    <fill>
      <patternFill patternType="solid">
        <fgColor rgb="FFFBEEE6"/>
        <bgColor rgb="FFFDF0EA"/>
      </patternFill>
    </fill>
    <fill>
      <patternFill patternType="solid">
        <fgColor rgb="FFC9A227"/>
        <bgColor rgb="FF99CC00"/>
      </patternFill>
    </fill>
    <fill>
      <patternFill patternType="solid">
        <fgColor rgb="FFFDF5E4"/>
        <bgColor rgb="FFFCF3D9"/>
      </patternFill>
    </fill>
    <fill>
      <patternFill patternType="solid">
        <fgColor rgb="FF1E4D38"/>
        <bgColor rgb="FF1F3864"/>
      </patternFill>
    </fill>
    <fill>
      <patternFill patternType="solid">
        <fgColor rgb="FF3D5FBA"/>
        <bgColor rgb="FF2E5496"/>
      </patternFill>
    </fill>
    <fill>
      <patternFill patternType="solid">
        <fgColor rgb="FFD9E1F2"/>
        <bgColor rgb="FFE3F0E8"/>
      </patternFill>
    </fill>
    <fill>
      <patternFill patternType="solid">
        <fgColor rgb="FFFFFFCC"/>
        <bgColor rgb="FFFCF3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5E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3F0E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E"/>
      <rgbColor rgb="FFEDF1FA"/>
      <rgbColor rgb="FFFCF3D9"/>
      <rgbColor rgb="FFEDF0F9"/>
      <rgbColor rgb="FFFBEEE6"/>
      <rgbColor rgb="FFFDF0EA"/>
      <rgbColor rgb="FFFBE3DC"/>
      <rgbColor rgb="FF3D5FBA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B83C20"/>
      <rgbColor rgb="FF993366"/>
      <rgbColor rgb="FF2E5496"/>
      <rgbColor rgb="FF1E4D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8" min="7" style="0" width="11"/>
    <col collapsed="false" customWidth="true" hidden="false" outlineLevel="0" max="9" min="9" style="0" width="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57.75" hidden="false" customHeight="true" outlineLevel="0" collapsed="false">
      <c r="A5" s="4" t="s">
        <v>11</v>
      </c>
      <c r="B5" s="5" t="s">
        <v>12</v>
      </c>
      <c r="C5" s="6" t="s">
        <v>13</v>
      </c>
      <c r="D5" s="7" t="s">
        <v>14</v>
      </c>
      <c r="E5" s="8" t="s">
        <v>15</v>
      </c>
      <c r="F5" s="9" t="s">
        <v>16</v>
      </c>
      <c r="G5" s="4" t="s">
        <v>17</v>
      </c>
      <c r="H5" s="4" t="s">
        <v>17</v>
      </c>
      <c r="I5" s="4" t="s">
        <v>11</v>
      </c>
    </row>
    <row r="6" customFormat="false" ht="57.75" hidden="false" customHeight="true" outlineLevel="0" collapsed="false">
      <c r="A6" s="4" t="s">
        <v>18</v>
      </c>
      <c r="B6" s="5" t="s">
        <v>19</v>
      </c>
      <c r="C6" s="6" t="s">
        <v>20</v>
      </c>
      <c r="D6" s="7" t="s">
        <v>21</v>
      </c>
      <c r="E6" s="8" t="s">
        <v>22</v>
      </c>
      <c r="F6" s="9" t="s">
        <v>23</v>
      </c>
      <c r="G6" s="4" t="s">
        <v>17</v>
      </c>
      <c r="H6" s="10" t="s">
        <v>24</v>
      </c>
      <c r="I6" s="4" t="s">
        <v>11</v>
      </c>
    </row>
    <row r="7" customFormat="false" ht="57.75" hidden="false" customHeight="true" outlineLevel="0" collapsed="false">
      <c r="A7" s="4" t="s">
        <v>25</v>
      </c>
      <c r="B7" s="5" t="s">
        <v>26</v>
      </c>
      <c r="C7" s="6" t="s">
        <v>27</v>
      </c>
      <c r="D7" s="7" t="s">
        <v>28</v>
      </c>
      <c r="E7" s="8" t="s">
        <v>29</v>
      </c>
      <c r="F7" s="9" t="s">
        <v>30</v>
      </c>
      <c r="G7" s="10" t="s">
        <v>24</v>
      </c>
      <c r="H7" s="10" t="s">
        <v>24</v>
      </c>
      <c r="I7" s="4" t="s">
        <v>11</v>
      </c>
    </row>
    <row r="8" customFormat="false" ht="57.75" hidden="false" customHeight="true" outlineLevel="0" collapsed="false">
      <c r="A8" s="4" t="s">
        <v>31</v>
      </c>
      <c r="B8" s="5" t="s">
        <v>32</v>
      </c>
      <c r="C8" s="6" t="s">
        <v>33</v>
      </c>
      <c r="D8" s="7" t="s">
        <v>34</v>
      </c>
      <c r="E8" s="8" t="s">
        <v>35</v>
      </c>
      <c r="F8" s="9" t="s">
        <v>36</v>
      </c>
      <c r="G8" s="4" t="s">
        <v>17</v>
      </c>
      <c r="H8" s="11" t="s">
        <v>37</v>
      </c>
      <c r="I8" s="4" t="s">
        <v>11</v>
      </c>
    </row>
    <row r="9" customFormat="false" ht="57.75" hidden="false" customHeight="true" outlineLevel="0" collapsed="false">
      <c r="A9" s="4" t="s">
        <v>38</v>
      </c>
      <c r="B9" s="5" t="s">
        <v>39</v>
      </c>
      <c r="C9" s="6" t="s">
        <v>40</v>
      </c>
      <c r="D9" s="7" t="s">
        <v>41</v>
      </c>
      <c r="E9" s="8" t="s">
        <v>42</v>
      </c>
      <c r="F9" s="9" t="s">
        <v>43</v>
      </c>
      <c r="G9" s="10" t="s">
        <v>24</v>
      </c>
      <c r="H9" s="4" t="s">
        <v>17</v>
      </c>
      <c r="I9" s="4" t="s">
        <v>11</v>
      </c>
    </row>
    <row r="10" customFormat="false" ht="57.75" hidden="false" customHeight="true" outlineLevel="0" collapsed="false">
      <c r="A10" s="4" t="s">
        <v>44</v>
      </c>
      <c r="B10" s="5" t="s">
        <v>45</v>
      </c>
      <c r="C10" s="6" t="s">
        <v>46</v>
      </c>
      <c r="D10" s="7" t="s">
        <v>47</v>
      </c>
      <c r="E10" s="8" t="s">
        <v>48</v>
      </c>
      <c r="F10" s="9" t="s">
        <v>49</v>
      </c>
      <c r="G10" s="10" t="s">
        <v>24</v>
      </c>
      <c r="H10" s="10" t="s">
        <v>24</v>
      </c>
      <c r="I10" s="4" t="s">
        <v>11</v>
      </c>
    </row>
    <row r="11" customFormat="false" ht="57.75" hidden="false" customHeight="true" outlineLevel="0" collapsed="false">
      <c r="A11" s="12" t="s">
        <v>50</v>
      </c>
      <c r="B11" s="13" t="s">
        <v>51</v>
      </c>
      <c r="C11" s="6" t="s">
        <v>52</v>
      </c>
      <c r="D11" s="7" t="s">
        <v>53</v>
      </c>
      <c r="E11" s="8" t="s">
        <v>54</v>
      </c>
      <c r="F11" s="9" t="s">
        <v>55</v>
      </c>
      <c r="G11" s="10" t="s">
        <v>24</v>
      </c>
      <c r="H11" s="4" t="s">
        <v>17</v>
      </c>
      <c r="I11" s="12" t="s">
        <v>18</v>
      </c>
    </row>
    <row r="12" customFormat="false" ht="57.75" hidden="false" customHeight="true" outlineLevel="0" collapsed="false">
      <c r="A12" s="12" t="s">
        <v>56</v>
      </c>
      <c r="B12" s="13" t="s">
        <v>57</v>
      </c>
      <c r="C12" s="6" t="s">
        <v>58</v>
      </c>
      <c r="D12" s="7" t="s">
        <v>59</v>
      </c>
      <c r="E12" s="8" t="s">
        <v>60</v>
      </c>
      <c r="F12" s="9" t="s">
        <v>61</v>
      </c>
      <c r="G12" s="10" t="s">
        <v>24</v>
      </c>
      <c r="H12" s="10" t="s">
        <v>24</v>
      </c>
      <c r="I12" s="12" t="s">
        <v>18</v>
      </c>
    </row>
    <row r="13" customFormat="false" ht="57.75" hidden="false" customHeight="true" outlineLevel="0" collapsed="false">
      <c r="A13" s="12" t="s">
        <v>62</v>
      </c>
      <c r="B13" s="13" t="s">
        <v>63</v>
      </c>
      <c r="C13" s="6" t="s">
        <v>64</v>
      </c>
      <c r="D13" s="7" t="s">
        <v>65</v>
      </c>
      <c r="E13" s="8" t="s">
        <v>66</v>
      </c>
      <c r="F13" s="9" t="s">
        <v>67</v>
      </c>
      <c r="G13" s="10" t="s">
        <v>24</v>
      </c>
      <c r="H13" s="10" t="s">
        <v>24</v>
      </c>
      <c r="I13" s="12" t="s">
        <v>18</v>
      </c>
    </row>
    <row r="14" customFormat="false" ht="57.75" hidden="false" customHeight="true" outlineLevel="0" collapsed="false">
      <c r="A14" s="12" t="s">
        <v>68</v>
      </c>
      <c r="B14" s="13" t="s">
        <v>69</v>
      </c>
      <c r="C14" s="6" t="s">
        <v>52</v>
      </c>
      <c r="D14" s="7" t="s">
        <v>70</v>
      </c>
      <c r="E14" s="8" t="s">
        <v>71</v>
      </c>
      <c r="F14" s="9" t="s">
        <v>72</v>
      </c>
      <c r="G14" s="11" t="s">
        <v>37</v>
      </c>
      <c r="H14" s="11" t="s">
        <v>37</v>
      </c>
      <c r="I14" s="12" t="s">
        <v>18</v>
      </c>
    </row>
    <row r="15" customFormat="false" ht="57.75" hidden="false" customHeight="true" outlineLevel="0" collapsed="false">
      <c r="A15" s="12" t="s">
        <v>73</v>
      </c>
      <c r="B15" s="13" t="s">
        <v>74</v>
      </c>
      <c r="C15" s="6" t="s">
        <v>33</v>
      </c>
      <c r="D15" s="7" t="s">
        <v>75</v>
      </c>
      <c r="E15" s="8" t="s">
        <v>76</v>
      </c>
      <c r="F15" s="9" t="s">
        <v>77</v>
      </c>
      <c r="G15" s="4" t="s">
        <v>17</v>
      </c>
      <c r="H15" s="4" t="s">
        <v>17</v>
      </c>
      <c r="I15" s="12" t="s">
        <v>18</v>
      </c>
    </row>
    <row r="16" customFormat="false" ht="57.75" hidden="false" customHeight="true" outlineLevel="0" collapsed="false">
      <c r="A16" s="12" t="s">
        <v>78</v>
      </c>
      <c r="B16" s="13" t="s">
        <v>79</v>
      </c>
      <c r="C16" s="6" t="s">
        <v>80</v>
      </c>
      <c r="D16" s="7" t="s">
        <v>81</v>
      </c>
      <c r="E16" s="8" t="s">
        <v>82</v>
      </c>
      <c r="F16" s="9" t="s">
        <v>83</v>
      </c>
      <c r="G16" s="4" t="s">
        <v>17</v>
      </c>
      <c r="H16" s="4" t="s">
        <v>17</v>
      </c>
      <c r="I16" s="12" t="s">
        <v>18</v>
      </c>
    </row>
    <row r="17" customFormat="false" ht="57.75" hidden="false" customHeight="true" outlineLevel="0" collapsed="false">
      <c r="A17" s="14" t="s">
        <v>84</v>
      </c>
      <c r="B17" s="15" t="s">
        <v>85</v>
      </c>
      <c r="C17" s="6" t="s">
        <v>86</v>
      </c>
      <c r="D17" s="7" t="s">
        <v>87</v>
      </c>
      <c r="E17" s="8" t="s">
        <v>88</v>
      </c>
      <c r="F17" s="9" t="s">
        <v>89</v>
      </c>
      <c r="G17" s="11" t="s">
        <v>37</v>
      </c>
      <c r="H17" s="11" t="s">
        <v>37</v>
      </c>
      <c r="I17" s="14" t="s">
        <v>25</v>
      </c>
    </row>
    <row r="18" customFormat="false" ht="57.75" hidden="false" customHeight="true" outlineLevel="0" collapsed="false">
      <c r="A18" s="14" t="s">
        <v>90</v>
      </c>
      <c r="B18" s="15" t="s">
        <v>91</v>
      </c>
      <c r="C18" s="6" t="s">
        <v>92</v>
      </c>
      <c r="D18" s="7" t="s">
        <v>93</v>
      </c>
      <c r="E18" s="8" t="s">
        <v>94</v>
      </c>
      <c r="F18" s="9" t="s">
        <v>95</v>
      </c>
      <c r="G18" s="11" t="s">
        <v>37</v>
      </c>
      <c r="H18" s="10" t="s">
        <v>24</v>
      </c>
      <c r="I18" s="14" t="s">
        <v>25</v>
      </c>
    </row>
    <row r="19" customFormat="false" ht="57.75" hidden="false" customHeight="true" outlineLevel="0" collapsed="false">
      <c r="A19" s="14" t="s">
        <v>96</v>
      </c>
      <c r="B19" s="15" t="s">
        <v>97</v>
      </c>
      <c r="C19" s="6" t="s">
        <v>58</v>
      </c>
      <c r="D19" s="7" t="s">
        <v>98</v>
      </c>
      <c r="E19" s="8" t="s">
        <v>99</v>
      </c>
      <c r="F19" s="9" t="s">
        <v>100</v>
      </c>
      <c r="G19" s="10" t="s">
        <v>24</v>
      </c>
      <c r="H19" s="11" t="s">
        <v>37</v>
      </c>
      <c r="I19" s="14" t="s">
        <v>25</v>
      </c>
    </row>
    <row r="20" customFormat="false" ht="57.75" hidden="false" customHeight="true" outlineLevel="0" collapsed="false">
      <c r="A20" s="14" t="s">
        <v>101</v>
      </c>
      <c r="B20" s="15" t="s">
        <v>102</v>
      </c>
      <c r="C20" s="6" t="s">
        <v>103</v>
      </c>
      <c r="D20" s="7" t="s">
        <v>104</v>
      </c>
      <c r="E20" s="8" t="s">
        <v>105</v>
      </c>
      <c r="F20" s="9" t="s">
        <v>106</v>
      </c>
      <c r="G20" s="11" t="s">
        <v>37</v>
      </c>
      <c r="H20" s="4" t="s">
        <v>17</v>
      </c>
      <c r="I20" s="14" t="s">
        <v>25</v>
      </c>
    </row>
    <row r="22" customFormat="false" ht="15" hidden="false" customHeight="true" outlineLevel="0" collapsed="false">
      <c r="A22" s="16" t="s">
        <v>107</v>
      </c>
      <c r="B22" s="16"/>
      <c r="C22" s="16"/>
      <c r="D22" s="16"/>
      <c r="E22" s="16"/>
      <c r="F22" s="16"/>
      <c r="G22" s="16"/>
      <c r="H22" s="16"/>
      <c r="I22" s="16"/>
    </row>
    <row r="23" customFormat="false" ht="45.75" hidden="false" customHeight="true" outlineLevel="0" collapsed="false">
      <c r="A23" s="17" t="s">
        <v>108</v>
      </c>
      <c r="B23" s="17"/>
      <c r="C23" s="17"/>
      <c r="D23" s="17"/>
      <c r="E23" s="17"/>
      <c r="F23" s="17"/>
      <c r="G23" s="17"/>
      <c r="H23" s="17"/>
      <c r="I23" s="17"/>
    </row>
  </sheetData>
  <mergeCells count="4">
    <mergeCell ref="A1:I1"/>
    <mergeCell ref="A2:I2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20"/>
  </cols>
  <sheetData>
    <row r="1" customFormat="false" ht="27.75" hidden="false" customHeight="true" outlineLevel="0" collapsed="false">
      <c r="A1" s="1" t="s">
        <v>109</v>
      </c>
      <c r="B1" s="1"/>
      <c r="C1" s="1"/>
      <c r="D1" s="1"/>
    </row>
    <row r="2" customFormat="false" ht="15.75" hidden="false" customHeight="true" outlineLevel="0" collapsed="false">
      <c r="A2" s="2" t="s">
        <v>110</v>
      </c>
      <c r="B2" s="2"/>
      <c r="C2" s="2"/>
      <c r="D2" s="2"/>
    </row>
    <row r="4" customFormat="false" ht="15" hidden="false" customHeight="true" outlineLevel="0" collapsed="false">
      <c r="A4" s="18" t="s">
        <v>111</v>
      </c>
      <c r="B4" s="18"/>
      <c r="C4" s="18"/>
      <c r="D4" s="18"/>
    </row>
    <row r="5" customFormat="false" ht="30" hidden="false" customHeight="true" outlineLevel="0" collapsed="false">
      <c r="A5" s="6" t="s">
        <v>112</v>
      </c>
      <c r="B5" s="6"/>
      <c r="C5" s="6"/>
      <c r="D5" s="6"/>
    </row>
    <row r="6" customFormat="false" ht="30" hidden="false" customHeight="true" outlineLevel="0" collapsed="false">
      <c r="A6" s="6" t="s">
        <v>113</v>
      </c>
      <c r="B6" s="6"/>
      <c r="C6" s="6"/>
      <c r="D6" s="6"/>
    </row>
    <row r="8" customFormat="false" ht="15" hidden="false" customHeight="true" outlineLevel="0" collapsed="false">
      <c r="A8" s="19" t="s">
        <v>114</v>
      </c>
      <c r="B8" s="19"/>
      <c r="C8" s="19"/>
      <c r="D8" s="19"/>
    </row>
    <row r="9" customFormat="false" ht="30" hidden="false" customHeight="true" outlineLevel="0" collapsed="false">
      <c r="A9" s="8" t="s">
        <v>115</v>
      </c>
      <c r="B9" s="8"/>
      <c r="C9" s="8"/>
      <c r="D9" s="8"/>
    </row>
    <row r="10" customFormat="false" ht="30" hidden="false" customHeight="true" outlineLevel="0" collapsed="false">
      <c r="A10" s="8" t="s">
        <v>116</v>
      </c>
      <c r="B10" s="8"/>
      <c r="C10" s="8"/>
      <c r="D10" s="8"/>
    </row>
    <row r="11" customFormat="false" ht="30" hidden="false" customHeight="true" outlineLevel="0" collapsed="false">
      <c r="A11" s="8" t="s">
        <v>117</v>
      </c>
      <c r="B11" s="8"/>
      <c r="C11" s="8"/>
      <c r="D11" s="8"/>
    </row>
    <row r="12" customFormat="false" ht="30" hidden="false" customHeight="true" outlineLevel="0" collapsed="false">
      <c r="A12" s="8" t="s">
        <v>118</v>
      </c>
      <c r="B12" s="8"/>
      <c r="C12" s="8"/>
      <c r="D12" s="8"/>
    </row>
    <row r="13" customFormat="false" ht="30" hidden="false" customHeight="true" outlineLevel="0" collapsed="false">
      <c r="A13" s="8" t="s">
        <v>119</v>
      </c>
      <c r="B13" s="8"/>
      <c r="C13" s="8"/>
      <c r="D13" s="8"/>
    </row>
    <row r="15" customFormat="false" ht="15" hidden="false" customHeight="true" outlineLevel="0" collapsed="false">
      <c r="A15" s="20" t="s">
        <v>120</v>
      </c>
      <c r="B15" s="20"/>
      <c r="C15" s="20"/>
      <c r="D15" s="20"/>
    </row>
    <row r="16" customFormat="false" ht="30" hidden="false" customHeight="true" outlineLevel="0" collapsed="false">
      <c r="A16" s="6" t="s">
        <v>121</v>
      </c>
      <c r="B16" s="6"/>
      <c r="C16" s="6"/>
      <c r="D16" s="6"/>
    </row>
    <row r="17" customFormat="false" ht="30" hidden="false" customHeight="true" outlineLevel="0" collapsed="false">
      <c r="A17" s="6" t="s">
        <v>122</v>
      </c>
      <c r="B17" s="6"/>
      <c r="C17" s="6"/>
      <c r="D17" s="6"/>
    </row>
    <row r="18" customFormat="false" ht="30" hidden="false" customHeight="true" outlineLevel="0" collapsed="false">
      <c r="A18" s="6" t="s">
        <v>123</v>
      </c>
      <c r="B18" s="6"/>
      <c r="C18" s="6"/>
      <c r="D18" s="6"/>
    </row>
    <row r="19" customFormat="false" ht="30" hidden="false" customHeight="true" outlineLevel="0" collapsed="false">
      <c r="A19" s="6" t="s">
        <v>124</v>
      </c>
      <c r="B19" s="6"/>
      <c r="C19" s="6"/>
      <c r="D19" s="6"/>
    </row>
    <row r="20" customFormat="false" ht="30" hidden="false" customHeight="true" outlineLevel="0" collapsed="false">
      <c r="A20" s="6" t="s">
        <v>125</v>
      </c>
      <c r="B20" s="6"/>
      <c r="C20" s="6"/>
      <c r="D20" s="6"/>
    </row>
    <row r="22" customFormat="false" ht="15" hidden="false" customHeight="true" outlineLevel="0" collapsed="false">
      <c r="A22" s="21" t="s">
        <v>126</v>
      </c>
      <c r="B22" s="21"/>
      <c r="C22" s="21"/>
      <c r="D22" s="21"/>
    </row>
    <row r="23" customFormat="false" ht="30" hidden="false" customHeight="true" outlineLevel="0" collapsed="false">
      <c r="A23" s="22" t="s">
        <v>127</v>
      </c>
      <c r="B23" s="22"/>
      <c r="C23" s="22"/>
      <c r="D23" s="22"/>
    </row>
    <row r="24" customFormat="false" ht="30" hidden="false" customHeight="true" outlineLevel="0" collapsed="false">
      <c r="A24" s="22" t="s">
        <v>128</v>
      </c>
      <c r="B24" s="22"/>
      <c r="C24" s="22"/>
      <c r="D24" s="22"/>
    </row>
    <row r="25" customFormat="false" ht="30" hidden="false" customHeight="true" outlineLevel="0" collapsed="false">
      <c r="A25" s="22" t="s">
        <v>129</v>
      </c>
      <c r="B25" s="22"/>
      <c r="C25" s="22"/>
      <c r="D25" s="22"/>
    </row>
    <row r="26" customFormat="false" ht="30" hidden="false" customHeight="true" outlineLevel="0" collapsed="false">
      <c r="A26" s="22" t="s">
        <v>130</v>
      </c>
      <c r="B26" s="22"/>
      <c r="C26" s="22"/>
      <c r="D26" s="22"/>
    </row>
  </sheetData>
  <mergeCells count="22">
    <mergeCell ref="A1:D1"/>
    <mergeCell ref="A2:D2"/>
    <mergeCell ref="A4:D4"/>
    <mergeCell ref="A5:D5"/>
    <mergeCell ref="A6:D6"/>
    <mergeCell ref="A8:D8"/>
    <mergeCell ref="A9:D9"/>
    <mergeCell ref="A10:D10"/>
    <mergeCell ref="A11:D11"/>
    <mergeCell ref="A12:D12"/>
    <mergeCell ref="A13:D13"/>
    <mergeCell ref="A15:D15"/>
    <mergeCell ref="A16:D16"/>
    <mergeCell ref="A17:D17"/>
    <mergeCell ref="A18:D18"/>
    <mergeCell ref="A19:D19"/>
    <mergeCell ref="A20:D20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7" min="4" style="0" width="24"/>
  </cols>
  <sheetData>
    <row r="1" customFormat="false" ht="27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138</v>
      </c>
    </row>
    <row r="5" customFormat="false" ht="43.5" hidden="false" customHeight="true" outlineLevel="0" collapsed="false">
      <c r="A5" s="23" t="s">
        <v>11</v>
      </c>
      <c r="B5" s="24" t="s">
        <v>139</v>
      </c>
      <c r="C5" s="25" t="n">
        <v>3</v>
      </c>
      <c r="D5" s="9" t="s">
        <v>140</v>
      </c>
      <c r="E5" s="7" t="s">
        <v>141</v>
      </c>
      <c r="F5" s="6" t="s">
        <v>142</v>
      </c>
      <c r="G5" s="8" t="s">
        <v>143</v>
      </c>
    </row>
    <row r="6" customFormat="false" ht="43.5" hidden="false" customHeight="true" outlineLevel="0" collapsed="false">
      <c r="A6" s="23" t="s">
        <v>18</v>
      </c>
      <c r="B6" s="24" t="s">
        <v>144</v>
      </c>
      <c r="C6" s="25" t="n">
        <v>3</v>
      </c>
      <c r="D6" s="9" t="s">
        <v>145</v>
      </c>
      <c r="E6" s="7" t="s">
        <v>146</v>
      </c>
      <c r="F6" s="6" t="s">
        <v>147</v>
      </c>
      <c r="G6" s="8" t="s">
        <v>148</v>
      </c>
    </row>
    <row r="7" customFormat="false" ht="43.5" hidden="false" customHeight="true" outlineLevel="0" collapsed="false">
      <c r="A7" s="23" t="s">
        <v>25</v>
      </c>
      <c r="B7" s="24" t="s">
        <v>149</v>
      </c>
      <c r="C7" s="25" t="n">
        <v>2</v>
      </c>
      <c r="D7" s="9" t="s">
        <v>150</v>
      </c>
      <c r="E7" s="7" t="s">
        <v>151</v>
      </c>
      <c r="F7" s="6" t="s">
        <v>152</v>
      </c>
      <c r="G7" s="8" t="s">
        <v>153</v>
      </c>
    </row>
    <row r="8" customFormat="false" ht="43.5" hidden="false" customHeight="true" outlineLevel="0" collapsed="false">
      <c r="A8" s="23" t="s">
        <v>31</v>
      </c>
      <c r="B8" s="24" t="s">
        <v>154</v>
      </c>
      <c r="C8" s="25" t="n">
        <v>2</v>
      </c>
      <c r="D8" s="9" t="s">
        <v>155</v>
      </c>
      <c r="E8" s="7" t="s">
        <v>156</v>
      </c>
      <c r="F8" s="6" t="s">
        <v>157</v>
      </c>
      <c r="G8" s="8" t="s">
        <v>158</v>
      </c>
    </row>
    <row r="9" customFormat="false" ht="43.5" hidden="false" customHeight="true" outlineLevel="0" collapsed="false">
      <c r="A9" s="23" t="s">
        <v>38</v>
      </c>
      <c r="B9" s="24" t="s">
        <v>159</v>
      </c>
      <c r="C9" s="25" t="n">
        <v>3</v>
      </c>
      <c r="D9" s="9" t="s">
        <v>160</v>
      </c>
      <c r="E9" s="7" t="s">
        <v>161</v>
      </c>
      <c r="F9" s="6" t="s">
        <v>162</v>
      </c>
      <c r="G9" s="8" t="s">
        <v>163</v>
      </c>
    </row>
    <row r="10" customFormat="false" ht="43.5" hidden="false" customHeight="true" outlineLevel="0" collapsed="false">
      <c r="A10" s="23" t="s">
        <v>44</v>
      </c>
      <c r="B10" s="24" t="s">
        <v>164</v>
      </c>
      <c r="C10" s="25" t="n">
        <v>2</v>
      </c>
      <c r="D10" s="9" t="s">
        <v>165</v>
      </c>
      <c r="E10" s="7" t="s">
        <v>166</v>
      </c>
      <c r="F10" s="6" t="s">
        <v>167</v>
      </c>
      <c r="G10" s="8" t="s">
        <v>168</v>
      </c>
    </row>
    <row r="11" customFormat="false" ht="43.5" hidden="false" customHeight="true" outlineLevel="0" collapsed="false">
      <c r="A11" s="23" t="s">
        <v>50</v>
      </c>
      <c r="B11" s="24" t="s">
        <v>169</v>
      </c>
      <c r="C11" s="25" t="n">
        <v>2</v>
      </c>
      <c r="D11" s="9" t="s">
        <v>170</v>
      </c>
      <c r="E11" s="7" t="s">
        <v>171</v>
      </c>
      <c r="F11" s="6" t="s">
        <v>172</v>
      </c>
      <c r="G11" s="8" t="s">
        <v>173</v>
      </c>
    </row>
    <row r="12" customFormat="false" ht="43.5" hidden="false" customHeight="true" outlineLevel="0" collapsed="false">
      <c r="A12" s="23" t="s">
        <v>56</v>
      </c>
      <c r="B12" s="24" t="s">
        <v>174</v>
      </c>
      <c r="C12" s="25" t="n">
        <v>1</v>
      </c>
      <c r="D12" s="9" t="s">
        <v>165</v>
      </c>
      <c r="E12" s="7" t="s">
        <v>175</v>
      </c>
      <c r="F12" s="6" t="s">
        <v>176</v>
      </c>
      <c r="G12" s="8" t="s">
        <v>177</v>
      </c>
    </row>
    <row r="13" customFormat="false" ht="43.5" hidden="false" customHeight="true" outlineLevel="0" collapsed="false">
      <c r="A13" s="23" t="s">
        <v>62</v>
      </c>
      <c r="B13" s="24" t="s">
        <v>178</v>
      </c>
      <c r="C13" s="25" t="n">
        <v>2</v>
      </c>
      <c r="D13" s="9" t="s">
        <v>179</v>
      </c>
      <c r="E13" s="7" t="s">
        <v>180</v>
      </c>
      <c r="F13" s="6" t="s">
        <v>181</v>
      </c>
      <c r="G13" s="8" t="s">
        <v>182</v>
      </c>
    </row>
    <row r="14" customFormat="false" ht="43.5" hidden="false" customHeight="true" outlineLevel="0" collapsed="false">
      <c r="A14" s="23" t="s">
        <v>68</v>
      </c>
      <c r="B14" s="24" t="s">
        <v>183</v>
      </c>
      <c r="C14" s="25" t="n">
        <v>1</v>
      </c>
      <c r="D14" s="9" t="s">
        <v>184</v>
      </c>
      <c r="E14" s="7" t="s">
        <v>185</v>
      </c>
      <c r="F14" s="6" t="s">
        <v>186</v>
      </c>
      <c r="G14" s="8" t="s">
        <v>187</v>
      </c>
    </row>
    <row r="15" customFormat="false" ht="25.5" hidden="false" customHeight="true" outlineLevel="0" collapsed="false">
      <c r="A15" s="26" t="s">
        <v>188</v>
      </c>
      <c r="B15" s="26"/>
      <c r="C15" s="26"/>
      <c r="D15" s="26"/>
      <c r="E15" s="26"/>
      <c r="F15" s="26"/>
      <c r="G15" s="26"/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28"/>
  </cols>
  <sheetData>
    <row r="1" customFormat="false" ht="27.75" hidden="false" customHeight="true" outlineLevel="0" collapsed="false">
      <c r="A1" s="1" t="s">
        <v>189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190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133</v>
      </c>
      <c r="C4" s="3" t="s">
        <v>191</v>
      </c>
      <c r="D4" s="3" t="s">
        <v>192</v>
      </c>
      <c r="E4" s="3" t="s">
        <v>193</v>
      </c>
      <c r="F4" s="3" t="s">
        <v>194</v>
      </c>
    </row>
    <row r="5" customFormat="false" ht="42" hidden="false" customHeight="true" outlineLevel="0" collapsed="false">
      <c r="A5" s="23" t="s">
        <v>11</v>
      </c>
      <c r="B5" s="24" t="s">
        <v>195</v>
      </c>
      <c r="C5" s="27" t="s">
        <v>196</v>
      </c>
      <c r="D5" s="9" t="s">
        <v>197</v>
      </c>
      <c r="E5" s="6" t="s">
        <v>198</v>
      </c>
      <c r="F5" s="8" t="s">
        <v>199</v>
      </c>
    </row>
    <row r="6" customFormat="false" ht="42" hidden="false" customHeight="true" outlineLevel="0" collapsed="false">
      <c r="A6" s="23" t="s">
        <v>18</v>
      </c>
      <c r="B6" s="24" t="s">
        <v>200</v>
      </c>
      <c r="C6" s="28"/>
      <c r="D6" s="9" t="s">
        <v>201</v>
      </c>
      <c r="E6" s="6" t="s">
        <v>202</v>
      </c>
      <c r="F6" s="8" t="s">
        <v>203</v>
      </c>
    </row>
    <row r="7" customFormat="false" ht="42" hidden="false" customHeight="true" outlineLevel="0" collapsed="false">
      <c r="A7" s="23" t="s">
        <v>25</v>
      </c>
      <c r="B7" s="24" t="s">
        <v>204</v>
      </c>
      <c r="C7" s="27" t="s">
        <v>196</v>
      </c>
      <c r="D7" s="9" t="s">
        <v>205</v>
      </c>
      <c r="E7" s="6" t="s">
        <v>206</v>
      </c>
      <c r="F7" s="8" t="s">
        <v>207</v>
      </c>
    </row>
    <row r="8" customFormat="false" ht="42" hidden="false" customHeight="true" outlineLevel="0" collapsed="false">
      <c r="A8" s="23" t="s">
        <v>31</v>
      </c>
      <c r="B8" s="24" t="s">
        <v>208</v>
      </c>
      <c r="C8" s="27" t="s">
        <v>196</v>
      </c>
      <c r="D8" s="9" t="s">
        <v>209</v>
      </c>
      <c r="E8" s="6" t="s">
        <v>210</v>
      </c>
      <c r="F8" s="8" t="s">
        <v>211</v>
      </c>
    </row>
    <row r="9" customFormat="false" ht="42" hidden="false" customHeight="true" outlineLevel="0" collapsed="false">
      <c r="A9" s="23" t="s">
        <v>38</v>
      </c>
      <c r="B9" s="24" t="s">
        <v>212</v>
      </c>
      <c r="C9" s="28"/>
      <c r="D9" s="9" t="s">
        <v>213</v>
      </c>
      <c r="E9" s="6" t="s">
        <v>214</v>
      </c>
      <c r="F9" s="8" t="s">
        <v>215</v>
      </c>
    </row>
    <row r="10" customFormat="false" ht="42" hidden="false" customHeight="true" outlineLevel="0" collapsed="false">
      <c r="A10" s="23" t="s">
        <v>44</v>
      </c>
      <c r="B10" s="24" t="s">
        <v>216</v>
      </c>
      <c r="C10" s="27" t="s">
        <v>196</v>
      </c>
      <c r="D10" s="9" t="s">
        <v>165</v>
      </c>
      <c r="E10" s="6" t="s">
        <v>217</v>
      </c>
      <c r="F10" s="8" t="s">
        <v>218</v>
      </c>
    </row>
    <row r="11" customFormat="false" ht="42" hidden="false" customHeight="true" outlineLevel="0" collapsed="false">
      <c r="A11" s="23" t="s">
        <v>50</v>
      </c>
      <c r="B11" s="24" t="s">
        <v>219</v>
      </c>
      <c r="C11" s="28"/>
      <c r="D11" s="9" t="s">
        <v>220</v>
      </c>
      <c r="E11" s="6" t="s">
        <v>221</v>
      </c>
      <c r="F11" s="8" t="s">
        <v>222</v>
      </c>
    </row>
    <row r="12" customFormat="false" ht="42" hidden="false" customHeight="true" outlineLevel="0" collapsed="false">
      <c r="A12" s="23" t="s">
        <v>56</v>
      </c>
      <c r="B12" s="24" t="s">
        <v>223</v>
      </c>
      <c r="C12" s="28"/>
      <c r="D12" s="9" t="s">
        <v>224</v>
      </c>
      <c r="E12" s="6" t="s">
        <v>225</v>
      </c>
      <c r="F12" s="8" t="s">
        <v>226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27.75" hidden="false" customHeight="true" outlineLevel="0" collapsed="false">
      <c r="A1" s="1" t="s">
        <v>227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228</v>
      </c>
      <c r="B2" s="2"/>
      <c r="C2" s="2"/>
      <c r="D2" s="2"/>
      <c r="E2" s="2"/>
    </row>
    <row r="4" customFormat="false" ht="30.55" hidden="false" customHeight="false" outlineLevel="0" collapsed="false">
      <c r="A4" s="29" t="s">
        <v>229</v>
      </c>
      <c r="B4" s="30"/>
      <c r="C4" s="30"/>
      <c r="D4" s="30"/>
      <c r="E4" s="30"/>
    </row>
    <row r="6" customFormat="false" ht="15" hidden="false" customHeight="false" outlineLevel="0" collapsed="false">
      <c r="A6" s="31" t="s">
        <v>2</v>
      </c>
      <c r="B6" s="31" t="s">
        <v>133</v>
      </c>
      <c r="C6" s="31" t="s">
        <v>134</v>
      </c>
      <c r="D6" s="31" t="s">
        <v>230</v>
      </c>
      <c r="E6" s="31" t="s">
        <v>231</v>
      </c>
    </row>
    <row r="7" customFormat="false" ht="15" hidden="false" customHeight="false" outlineLevel="0" collapsed="false">
      <c r="A7" s="32" t="s">
        <v>11</v>
      </c>
      <c r="B7" s="7" t="s">
        <v>139</v>
      </c>
      <c r="C7" s="32" t="n">
        <v>3</v>
      </c>
      <c r="D7" s="33" t="n">
        <v>0</v>
      </c>
      <c r="E7" s="34" t="n">
        <f aca="false">C7*D7</f>
        <v>0</v>
      </c>
    </row>
    <row r="8" customFormat="false" ht="15" hidden="false" customHeight="false" outlineLevel="0" collapsed="false">
      <c r="A8" s="32" t="s">
        <v>18</v>
      </c>
      <c r="B8" s="7" t="s">
        <v>144</v>
      </c>
      <c r="C8" s="32" t="n">
        <v>3</v>
      </c>
      <c r="D8" s="33" t="n">
        <v>0</v>
      </c>
      <c r="E8" s="34" t="n">
        <f aca="false">C8*D8</f>
        <v>0</v>
      </c>
    </row>
    <row r="9" customFormat="false" ht="15" hidden="false" customHeight="false" outlineLevel="0" collapsed="false">
      <c r="A9" s="32" t="s">
        <v>25</v>
      </c>
      <c r="B9" s="7" t="s">
        <v>149</v>
      </c>
      <c r="C9" s="32" t="n">
        <v>2</v>
      </c>
      <c r="D9" s="33" t="n">
        <v>0</v>
      </c>
      <c r="E9" s="34" t="n">
        <f aca="false">C9*D9</f>
        <v>0</v>
      </c>
    </row>
    <row r="10" customFormat="false" ht="15" hidden="false" customHeight="false" outlineLevel="0" collapsed="false">
      <c r="A10" s="32" t="s">
        <v>31</v>
      </c>
      <c r="B10" s="7" t="s">
        <v>154</v>
      </c>
      <c r="C10" s="32" t="n">
        <v>2</v>
      </c>
      <c r="D10" s="33" t="n">
        <v>0</v>
      </c>
      <c r="E10" s="34" t="n">
        <f aca="false">C10*D10</f>
        <v>0</v>
      </c>
    </row>
    <row r="11" customFormat="false" ht="15" hidden="false" customHeight="false" outlineLevel="0" collapsed="false">
      <c r="A11" s="32" t="s">
        <v>38</v>
      </c>
      <c r="B11" s="7" t="s">
        <v>159</v>
      </c>
      <c r="C11" s="32" t="n">
        <v>3</v>
      </c>
      <c r="D11" s="33" t="n">
        <v>0</v>
      </c>
      <c r="E11" s="34" t="n">
        <f aca="false">C11*D11</f>
        <v>0</v>
      </c>
    </row>
    <row r="12" customFormat="false" ht="15" hidden="false" customHeight="false" outlineLevel="0" collapsed="false">
      <c r="A12" s="32" t="s">
        <v>44</v>
      </c>
      <c r="B12" s="7" t="s">
        <v>164</v>
      </c>
      <c r="C12" s="32" t="n">
        <v>2</v>
      </c>
      <c r="D12" s="33" t="n">
        <v>0</v>
      </c>
      <c r="E12" s="34" t="n">
        <f aca="false">C12*D12</f>
        <v>0</v>
      </c>
    </row>
    <row r="13" customFormat="false" ht="15" hidden="false" customHeight="false" outlineLevel="0" collapsed="false">
      <c r="A13" s="32" t="s">
        <v>50</v>
      </c>
      <c r="B13" s="7" t="s">
        <v>169</v>
      </c>
      <c r="C13" s="32" t="n">
        <v>2</v>
      </c>
      <c r="D13" s="33" t="n">
        <v>0</v>
      </c>
      <c r="E13" s="34" t="n">
        <f aca="false">C13*D13</f>
        <v>0</v>
      </c>
    </row>
    <row r="14" customFormat="false" ht="15" hidden="false" customHeight="false" outlineLevel="0" collapsed="false">
      <c r="A14" s="32" t="s">
        <v>56</v>
      </c>
      <c r="B14" s="7" t="s">
        <v>174</v>
      </c>
      <c r="C14" s="32" t="n">
        <v>1</v>
      </c>
      <c r="D14" s="33" t="n">
        <v>0</v>
      </c>
      <c r="E14" s="34" t="n">
        <f aca="false">C14*D14</f>
        <v>0</v>
      </c>
    </row>
    <row r="15" customFormat="false" ht="15" hidden="false" customHeight="false" outlineLevel="0" collapsed="false">
      <c r="A15" s="32" t="s">
        <v>62</v>
      </c>
      <c r="B15" s="7" t="s">
        <v>178</v>
      </c>
      <c r="C15" s="32" t="n">
        <v>2</v>
      </c>
      <c r="D15" s="33" t="n">
        <v>0</v>
      </c>
      <c r="E15" s="34" t="n">
        <f aca="false">C15*D15</f>
        <v>0</v>
      </c>
    </row>
    <row r="16" customFormat="false" ht="15" hidden="false" customHeight="false" outlineLevel="0" collapsed="false">
      <c r="A16" s="32" t="s">
        <v>68</v>
      </c>
      <c r="B16" s="7" t="s">
        <v>183</v>
      </c>
      <c r="C16" s="32" t="n">
        <v>1</v>
      </c>
      <c r="D16" s="33" t="n">
        <v>0</v>
      </c>
      <c r="E16" s="34" t="n">
        <f aca="false">C16*D16</f>
        <v>0</v>
      </c>
    </row>
    <row r="17" customFormat="false" ht="15" hidden="false" customHeight="false" outlineLevel="0" collapsed="false">
      <c r="A17" s="35"/>
      <c r="B17" s="16" t="s">
        <v>232</v>
      </c>
      <c r="C17" s="36" t="n">
        <f aca="false">SUM(C7:C16)*3</f>
        <v>63</v>
      </c>
      <c r="D17" s="37" t="s">
        <v>233</v>
      </c>
      <c r="E17" s="36" t="n">
        <f aca="false">SUM(E7:E16)</f>
        <v>0</v>
      </c>
    </row>
    <row r="19" customFormat="false" ht="17.35" hidden="false" customHeight="false" outlineLevel="0" collapsed="false">
      <c r="B19" s="29" t="s">
        <v>234</v>
      </c>
      <c r="C19" s="38" t="n">
        <f aca="false">E17/C17</f>
        <v>0</v>
      </c>
    </row>
    <row r="20" customFormat="false" ht="15" hidden="false" customHeight="false" outlineLevel="0" collapsed="false">
      <c r="B20" s="29" t="s">
        <v>235</v>
      </c>
      <c r="C20" s="39" t="str">
        <f aca="false">IF(C19&gt;=0.8,"PUBLISH ✓",IF(C19&gt;=0.6,"REVISE","REWORK"))</f>
        <v>REWORK</v>
      </c>
    </row>
    <row r="22" customFormat="false" ht="15" hidden="false" customHeight="true" outlineLevel="0" collapsed="false">
      <c r="B22" s="17" t="s">
        <v>236</v>
      </c>
      <c r="C22" s="17"/>
      <c r="D22" s="17"/>
      <c r="E22" s="17"/>
    </row>
  </sheetData>
  <mergeCells count="4">
    <mergeCell ref="A1:E1"/>
    <mergeCell ref="A2:E2"/>
    <mergeCell ref="B4:E4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2026-06-15T11:31:55Z</dcterms:created>
  <dc:creator>openpyxl</dc:creator>
  <dc:description/>
  <dc:language>en-US</dc:language>
  <cp:lastModifiedBy/>
  <dcterms:modified xsi:type="dcterms:W3CDTF">2026-06-15T11:31:55Z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